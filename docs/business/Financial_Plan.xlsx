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fb21e6dbf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e7e6f2786684777"/>
    <x:sheet xmlns:r="http://schemas.openxmlformats.org/officeDocument/2006/relationships" name="Validation Forecast" sheetId="2" r:id="R5f6384384ae84471"/>
    <x:sheet xmlns:r="http://schemas.openxmlformats.org/officeDocument/2006/relationships" name="Profit Target" sheetId="3" r:id="Rdfb35e1beadb4508"/>
    <x:sheet xmlns:r="http://schemas.openxmlformats.org/officeDocument/2006/relationships" name="Market Sizing" sheetId="4" r:id="Rb72364c4511c402b"/>
    <x:sheet xmlns:r="http://schemas.openxmlformats.org/officeDocument/2006/relationships" name="Investor Summary" sheetId="5" r:id="R2c88cb27103a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₦#,##0;[Red](₦#,##0);-"/>
    <x:numFmt numFmtId="201" formatCode="0.0%"/>
    <x:numFmt numFmtId="202" formatCode="#,##0;[Red](#,##0);-"/>
  </x:numFmts>
  <x:fonts count="7">
    <x:font>
      <x:sz val="11"/>
      <x:name val="Carlito"/>
    </x:font>
    <x:font>
      <x:b/>
      <x:sz val="16"/>
      <x:color rgb="FF211D18"/>
      <x:name val="Arial"/>
    </x:font>
    <x:font>
      <x:i/>
      <x:sz val="10"/>
      <x:color rgb="FF6B6259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211D18"/>
      <x:name val="Arial"/>
    </x:font>
    <x:font>
      <x:sz val="10"/>
      <x:color rgb="FF211D1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55953"/>
      </x:patternFill>
    </x:fill>
    <x:fill>
      <x:patternFill patternType="solid">
        <x:fgColor rgb="FFFFF4CC"/>
      </x:patternFill>
    </x:fill>
    <x:fill>
      <x:patternFill patternType="solid">
        <x:fgColor rgb="FFFBF9F5"/>
      </x:patternFill>
    </x:fill>
    <x:fill>
      <x:patternFill patternType="solid">
        <x:fgColor rgb="FFF3EEE4"/>
      </x:patternFill>
    </x:fill>
    <x:fill>
      <x:patternFill patternType="solid">
        <x:fgColor rgb="FFFCE8E6"/>
      </x:patternFill>
    </x:fill>
    <x:fill>
      <x:patternFill patternType="solid">
        <x:fgColor rgb="FFE8F1EC"/>
      </x:patternFill>
    </x:fill>
  </x:fills>
  <x:borders count="4">
    <x:border/>
    <x:border>
      <x:bottom style="thin">
        <x:color rgb="FF15595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8E1D6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4" fillId="3" borderId="0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0" fontId="6" fillId="3" borderId="0" xfId="0" applyNumberFormat="1" applyFont="1" applyFill="1" applyBorder="1"/>
    <x:xf numFmtId="201" fontId="6" fillId="3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2" fontId="6" fillId="3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201" fontId="6" fillId="3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2" fontId="6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2" fontId="6" fillId="4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200" fontId="6" fillId="7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81c784e45407f" /><Relationship Type="http://schemas.openxmlformats.org/officeDocument/2006/relationships/theme" Target="/xl/theme/theme1.xml" Id="Rb43e14835199421c" /><Relationship Type="http://schemas.openxmlformats.org/officeDocument/2006/relationships/sharedStrings" Target="/xl/sharedStrings.xml" Id="R5aecf03912e04945" /><Relationship Type="http://schemas.openxmlformats.org/officeDocument/2006/relationships/worksheet" Target="/xl/worksheets/sheet1.xml" Id="Rce7e6f2786684777" /><Relationship Type="http://schemas.openxmlformats.org/officeDocument/2006/relationships/worksheet" Target="/xl/worksheets/sheet2.xml" Id="R5f6384384ae84471" /><Relationship Type="http://schemas.openxmlformats.org/officeDocument/2006/relationships/worksheet" Target="/xl/worksheets/sheet3.xml" Id="Rdfb35e1beadb4508" /><Relationship Type="http://schemas.openxmlformats.org/officeDocument/2006/relationships/worksheet" Target="/xl/worksheets/sheet4.xml" Id="Rb72364c4511c402b" /><Relationship Type="http://schemas.openxmlformats.org/officeDocument/2006/relationships/worksheet" Target="/xl/worksheets/sheet5.xml" Id="R2c88cb27103a40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595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65" hidden="0" customWidth="1"/>
  </x:cols>
  <x:sheetData>
    <x:row r="1">
      <x:c r="A1" s="37"/>
      <x:c r="B1" s="37"/>
      <x:c r="C1" s="37"/>
    </x:row>
    <x:row r="2">
      <x:c r="A2" s="38" t="str">
        <x:v>Monovella profit-first assumptions</x:v>
      </x:c>
      <x:c r="B2" s="37"/>
      <x:c r="C2" s="37"/>
    </x:row>
    <x:row r="3">
      <x:c r="A3" s="39"/>
      <x:c r="B3" s="39"/>
      <x:c r="C3" s="39"/>
      <x:c r="D3" s="3"/>
      <x:c r="E3" s="3"/>
      <x:c r="F3" s="3"/>
    </x:row>
    <x:row r="4">
      <x:c r="A4" s="40" t="str">
        <x:v>Inputs are planning assumptions, not actual revenue, contracted volume, or investor returns.</x:v>
      </x:c>
      <x:c r="B4" s="37" t="str"/>
      <x:c r="C4" s="37" t="str"/>
      <x:c r="D4" t="str"/>
      <x:c r="E4" t="str"/>
      <x:c r="F4" t="str"/>
    </x:row>
    <x:row r="5">
      <x:c r="A5" s="37"/>
      <x:c r="B5" s="37"/>
      <x:c r="C5" s="37"/>
    </x:row>
    <x:row r="6">
      <x:c r="A6" s="41" t="str">
        <x:v>Commercial assumptions</x:v>
      </x:c>
      <x:c r="B6" s="41" t="str">
        <x:v>Value</x:v>
      </x:c>
      <x:c r="C6" s="41" t="str">
        <x:v>Basis</x:v>
      </x:c>
    </x:row>
    <x:row r="7">
      <x:c r="A7" s="42" t="str">
        <x:v>GP provider fee</x:v>
      </x:c>
      <x:c r="B7" s="43" t="n">
        <x:v>4000</x:v>
      </x:c>
      <x:c r="C7" s="42" t="str">
        <x:v>Founder-provided planning fee</x:v>
      </x:c>
    </x:row>
    <x:row r="8">
      <x:c r="A8" s="42" t="str">
        <x:v>Gynecology provider fee</x:v>
      </x:c>
      <x:c r="B8" s="43" t="n">
        <x:v>10000</x:v>
      </x:c>
      <x:c r="C8" s="42" t="str">
        <x:v>Founder-provided planning fee</x:v>
      </x:c>
    </x:row>
    <x:row r="9">
      <x:c r="A9" s="42" t="str">
        <x:v>Primary commission rate</x:v>
      </x:c>
      <x:c r="B9" s="44" t="n">
        <x:v>0.2</x:v>
      </x:c>
      <x:c r="C9" s="42" t="str">
        <x:v>Planning case, pending commercial validation</x:v>
      </x:c>
    </x:row>
    <x:row r="10">
      <x:c r="A10" s="42" t="str">
        <x:v>Sensitivity commission rate</x:v>
      </x:c>
      <x:c r="B10" s="44" t="n">
        <x:v>0.15</x:v>
      </x:c>
      <x:c r="C10" s="42" t="str">
        <x:v>Live pricing test</x:v>
      </x:c>
    </x:row>
    <x:row r="11">
      <x:c r="A11" s="42" t="str">
        <x:v>Payment cost / gross commission</x:v>
      </x:c>
      <x:c r="B11" s="44" t="n">
        <x:v>0.1</x:v>
      </x:c>
      <x:c r="C11" s="42" t="str">
        <x:v>Founder-provided Nomba assumption</x:v>
      </x:c>
    </x:row>
    <x:row r="12">
      <x:c r="A12" s="42" t="str">
        <x:v>Commission cap</x:v>
      </x:c>
      <x:c r="B12" s="43" t="n">
        <x:v>3000</x:v>
      </x:c>
      <x:c r="C12" s="42" t="str">
        <x:v>Founder-provided planning input</x:v>
      </x:c>
    </x:row>
    <x:row r="13">
      <x:c r="A13" s="42" t="str">
        <x:v>GP planning mix</x:v>
      </x:c>
      <x:c r="B13" s="44" t="n">
        <x:v>0.8235294118</x:v>
      </x:c>
      <x:c r="C13" s="42" t="str">
        <x:v>Provisional allocation, not observed market mix</x:v>
      </x:c>
    </x:row>
    <x:row r="14">
      <x:c r="A14" s="42" t="str">
        <x:v>Gynecology planning mix</x:v>
      </x:c>
      <x:c r="B14" s="44" t="n">
        <x:f>1-B13</x:f>
        <x:v>0.17647058819999994</x:v>
      </x:c>
      <x:c r="C14" s="42" t="str">
        <x:v>Formula: 1 − GP mix</x:v>
      </x:c>
    </x:row>
    <x:row r="15">
      <x:c r="A15" s="42" t="str">
        <x:v>Direct cost to serve / consultation</x:v>
      </x:c>
      <x:c r="B15" s="43" t="n">
        <x:v>240.5765</x:v>
      </x:c>
      <x:c r="C15" s="42" t="str">
        <x:v>Existing 20% planning model</x:v>
      </x:c>
    </x:row>
    <x:row r="16">
      <x:c r="A16" s="42"/>
      <x:c r="B16" s="42"/>
      <x:c r="C16" s="42"/>
    </x:row>
    <x:row r="17">
      <x:c r="A17" s="41" t="str">
        <x:v>Investment and profit target</x:v>
      </x:c>
      <x:c r="B17" s="41" t="str">
        <x:v>Value</x:v>
      </x:c>
      <x:c r="C17" s="41" t="str">
        <x:v>Basis</x:v>
      </x:c>
    </x:row>
    <x:row r="18">
      <x:c r="A18" s="42" t="str">
        <x:v>Initial validation ask</x:v>
      </x:c>
      <x:c r="B18" s="43" t="n">
        <x:v>18900000</x:v>
      </x:c>
      <x:c r="C18" s="42" t="str">
        <x:v>12-month pre-seed planning ask</x:v>
      </x:c>
    </x:row>
    <x:row r="19">
      <x:c r="A19" s="42" t="str">
        <x:v>Year-1 validation operating costs</x:v>
      </x:c>
      <x:c r="B19" s="43" t="n">
        <x:v>18875000</x:v>
      </x:c>
      <x:c r="C19" s="42" t="str">
        <x:v>Existing 12-month cost plan</x:v>
      </x:c>
    </x:row>
    <x:row r="20">
      <x:c r="A20" s="42" t="str">
        <x:v>Year-1 validation consultations</x:v>
      </x:c>
      <x:c r="B20" s="45" t="n">
        <x:v>1820.7</x:v>
      </x:c>
      <x:c r="C20" s="42" t="str">
        <x:v>Existing funnel forecast, not SOM</x:v>
      </x:c>
    </x:row>
    <x:row r="21">
      <x:c r="A21" s="42" t="str">
        <x:v>Year-2 scale operating costs</x:v>
      </x:c>
      <x:c r="B21" s="43" t="n">
        <x:v>100600188</x:v>
      </x:c>
      <x:c r="C21" s="42" t="str">
        <x:v>Existing scale-economics fixed cost assumption</x:v>
      </x:c>
    </x:row>
    <x:row r="22">
      <x:c r="A22" s="42" t="str">
        <x:v>Cumulative pre-tax operating profit target</x:v>
      </x:c>
      <x:c r="B22" s="43" t="n">
        <x:v>18900000</x:v>
      </x:c>
      <x:c r="C22" s="42" t="str">
        <x:v>Company profit by Month 24, not investor payout</x:v>
      </x:c>
    </x:row>
    <x:row r="23">
      <x:c r="A23" s="42"/>
      <x:c r="B23" s="42"/>
      <x:c r="C23" s="42"/>
    </x:row>
    <x:row r="24">
      <x:c r="A24" s="41" t="str">
        <x:v>Provider capacity inputs</x:v>
      </x:c>
      <x:c r="B24" s="41" t="str">
        <x:v>Value</x:v>
      </x:c>
      <x:c r="C24" s="41" t="str">
        <x:v>Basis</x:v>
      </x:c>
    </x:row>
    <x:row r="25">
      <x:c r="A25" s="42" t="str">
        <x:v>National medical-doctor base</x:v>
      </x:c>
      <x:c r="B25" s="45" t="n">
        <x:v>66241</x:v>
      </x:c>
      <x:c r="C25" s="42" t="str">
        <x:v>FMoH State of Health of the Nation Report 2024</x:v>
      </x:c>
    </x:row>
    <x:row r="26">
      <x:c r="A26" s="42" t="str">
        <x:v>Lagos medical-doctor base</x:v>
      </x:c>
      <x:c r="B26" s="45" t="n">
        <x:v>4609</x:v>
      </x:c>
      <x:c r="C26" s="42" t="str">
        <x:v>FMoH State of Health of the Nation Report 2024</x:v>
      </x:c>
    </x:row>
    <x:row r="27">
      <x:c r="A27" s="42" t="str">
        <x:v>Ogun medical-doctor base</x:v>
      </x:c>
      <x:c r="B27" s="45" t="n">
        <x:v>634</x:v>
      </x:c>
      <x:c r="C27" s="42" t="str">
        <x:v>FMoH State of Health of the Nation Report 2024</x:v>
      </x:c>
    </x:row>
    <x:row r="28">
      <x:c r="A28" s="42" t="str">
        <x:v>FCT medical-doctor base</x:v>
      </x:c>
      <x:c r="B28" s="45" t="n">
        <x:v>1287</x:v>
      </x:c>
      <x:c r="C28" s="42" t="str">
        <x:v>FMoH State of Health of the Nation Report 2024</x:v>
      </x:c>
    </x:row>
    <x:row r="29">
      <x:c r="A29" s="42" t="str">
        <x:v>Monovella-available capacity allocation</x:v>
      </x:c>
      <x:c r="B29" s="44" t="n">
        <x:v>0.05</x:v>
      </x:c>
      <x:c r="C29" s="42" t="str">
        <x:v>Planning allocation, replace with contracted availability</x:v>
      </x:c>
    </x:row>
    <x:row r="30">
      <x:c r="A30" s="42" t="str">
        <x:v>GP monthly consultation volume, low</x:v>
      </x:c>
      <x:c r="B30" s="45" t="n">
        <x:v>600</x:v>
      </x:c>
      <x:c r="C30" s="42" t="str">
        <x:v>Mentor-provided capacity input</x:v>
      </x:c>
    </x:row>
    <x:row r="31">
      <x:c r="A31" s="42" t="str">
        <x:v>GP monthly consultation volume, high</x:v>
      </x:c>
      <x:c r="B31" s="45" t="n">
        <x:v>1000</x:v>
      </x:c>
      <x:c r="C31" s="42" t="str">
        <x:v>Mentor-provided capacity input</x:v>
      </x:c>
    </x:row>
    <x:row r="32">
      <x:c r="A32" s="42" t="str">
        <x:v>Gynecology monthly consultation volume, low</x:v>
      </x:c>
      <x:c r="B32" s="45" t="n">
        <x:v>250</x:v>
      </x:c>
      <x:c r="C32" s="42" t="str">
        <x:v>Mentor-provided capacity input</x:v>
      </x:c>
    </x:row>
    <x:row r="33">
      <x:c r="A33" s="42" t="str">
        <x:v>Gynecology monthly consultation volume, high</x:v>
      </x:c>
      <x:c r="B33" s="45" t="n">
        <x:v>500</x:v>
      </x:c>
      <x:c r="C33" s="42" t="str">
        <x:v>Mentor-provided capacity input</x:v>
      </x:c>
    </x:row>
    <x:row r="34">
      <x:c r="A34" s="42" t="str">
        <x:v>Provider allocation caveat</x:v>
      </x:c>
      <x:c r="B34" s="42" t="str">
        <x:v>Use the GP/Gyn planning mix until a registry export supplies specialty counts</x:v>
      </x:c>
      <x:c r="C34" s="42" t="str">
        <x:v>Do not present as verified specialty counts</x:v>
      </x:c>
    </x:row>
    <x:row r="35">
      <x:c r="A35" s="42" t="str">
        <x:v>Registry replacement source</x:v>
      </x:c>
      <x:c r="B35" s="42" t="str">
        <x:v>Nigeria Health Workforce Registry export</x:v>
      </x:c>
      <x:c r="C35" s="42" t="str">
        <x:v>Authoritative source requires access/export</x:v>
      </x:c>
    </x:row>
    <x:row r="36">
      <x:c r="A36" s="42" t="str">
        <x:v>Capacity unit</x:v>
      </x:c>
      <x:c r="B36" s="42" t="str">
        <x:v>Completed consultations / year</x:v>
      </x:c>
      <x:c r="C36" s="42" t="str">
        <x:v>Capacity, not demand or contracted volume</x:v>
      </x:c>
    </x:row>
    <x:row r="37">
      <x:c r="A37" s="42"/>
      <x:c r="B37" s="42"/>
      <x:c r="C37" s="42"/>
    </x:row>
    <x:row r="38">
      <x:c r="A38" s="41" t="str">
        <x:v>Source URLs</x:v>
      </x:c>
      <x:c r="B38" s="41" t="str">
        <x:v>URL</x:v>
      </x:c>
      <x:c r="C38" s="41" t="str">
        <x:v>Use</x:v>
      </x:c>
    </x:row>
    <x:row r="39">
      <x:c r="A39" s="42" t="str">
        <x:v>FMoH State of Health of the Nation Report 2024</x:v>
      </x:c>
      <x:c r="B39" s="42" t="str">
        <x:v>https://fmohconnect.gov.ng/wp-content/uploads/2025/05/The-State-of-Health-of-the-Nation-Report-2024.pdf</x:v>
      </x:c>
      <x:c r="C39" s="42" t="str">
        <x:v>National and state medical-doctor bases</x:v>
      </x:c>
    </x:row>
    <x:row r="40">
      <x:c r="A40" s="42" t="str">
        <x:v>Nigeria Health Workforce Registry</x:v>
      </x:c>
      <x:c r="B40" s="42" t="str">
        <x:v>https://nhwfr.health.gov.ng/</x:v>
      </x:c>
      <x:c r="C40" s="42" t="str">
        <x:v>Future specialty-count replacement</x:v>
      </x:c>
    </x:row>
    <x:row r="41">
      <x:c r="A41" s="42" t="str">
        <x:v>MDCN practitioner register</x:v>
      </x:c>
      <x:c r="B41" s="42" t="str">
        <x:v>https://www.mdcn.gov.ng/</x:v>
      </x:c>
      <x:c r="C41" s="42" t="str">
        <x:v>Provider verification, not capacity count</x:v>
      </x:c>
    </x:row>
  </x:sheetData>
  <x:mergeCells>
    <x:mergeCell ref="A2:F2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625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2" t="str">
        <x:v>Year 1 validation forecast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4" t="str">
        <x:v>This is a 12-month revenue validation forecast. It is not the profit-required SOM.</x:v>
      </x:c>
    </x:row>
    <x:row r="6">
      <x:c r="A6" s="10" t="str">
        <x:v>Metric</x:v>
      </x:c>
      <x:c r="B6" s="10" t="str">
        <x:v>M1</x:v>
      </x:c>
      <x:c r="C6" s="10" t="str">
        <x:v>M2</x:v>
      </x:c>
      <x:c r="D6" s="10" t="str">
        <x:v>M3</x:v>
      </x:c>
      <x:c r="E6" s="10" t="str">
        <x:v>M4</x:v>
      </x:c>
      <x:c r="F6" s="10" t="str">
        <x:v>M5</x:v>
      </x:c>
      <x:c r="G6" s="10" t="str">
        <x:v>M6</x:v>
      </x:c>
      <x:c r="H6" s="10" t="str">
        <x:v>M7</x:v>
      </x:c>
      <x:c r="I6" s="10" t="str">
        <x:v>M8</x:v>
      </x:c>
      <x:c r="J6" s="10" t="str">
        <x:v>M9</x:v>
      </x:c>
      <x:c r="K6" s="10" t="str">
        <x:v>M10</x:v>
      </x:c>
      <x:c r="L6" s="10" t="str">
        <x:v>M11</x:v>
      </x:c>
      <x:c r="M6" s="10" t="str">
        <x:v>M12</x:v>
      </x:c>
      <x:c r="N6" s="10" t="str">
        <x:v>Year 1</x:v>
      </x:c>
    </x:row>
    <x:row r="7">
      <x:c r="A7" s="25" t="str">
        <x:v>Completed consultations</x:v>
      </x:c>
      <x:c r="B7" s="46" t="n">
        <x:v>0</x:v>
      </x:c>
      <x:c r="C7" s="46" t="n">
        <x:v>0</x:v>
      </x:c>
      <x:c r="D7" s="46" t="n">
        <x:v>54</x:v>
      </x:c>
      <x:c r="E7" s="46" t="n">
        <x:v>107</x:v>
      </x:c>
      <x:c r="F7" s="46" t="n">
        <x:v>161</x:v>
      </x:c>
      <x:c r="G7" s="46" t="n">
        <x:v>214</x:v>
      </x:c>
      <x:c r="H7" s="46" t="n">
        <x:v>214</x:v>
      </x:c>
      <x:c r="I7" s="46" t="n">
        <x:v>214</x:v>
      </x:c>
      <x:c r="J7" s="46" t="n">
        <x:v>214</x:v>
      </x:c>
      <x:c r="K7" s="46" t="n">
        <x:v>214</x:v>
      </x:c>
      <x:c r="L7" s="46" t="n">
        <x:v>214</x:v>
      </x:c>
      <x:c r="M7" s="46" t="n">
        <x:v>214</x:v>
      </x:c>
      <x:c r="N7" s="46" t="n">
        <x:f>SUM(B7:M7)</x:f>
        <x:v>1820</x:v>
      </x:c>
    </x:row>
    <x:row r="8">
      <x:c r="A8" s="25" t="str">
        <x:v>Net platform revenue</x:v>
      </x:c>
      <x:c r="B8" s="29" t="n">
        <x:f>B7*('Assumptions'!$B$13*'Assumptions'!$B$7*'Assumptions'!$B$9*(1-'Assumptions'!$B$11)+'Assumptions'!$B$14*'Assumptions'!$B$8*'Assumptions'!$B$9*(1-'Assumptions'!$B$11))</x:f>
        <x:v>0</x:v>
      </x:c>
      <x:c r="C8" s="29" t="n">
        <x:f>C7*('Assumptions'!$B$13*'Assumptions'!$B$7*'Assumptions'!$B$9*(1-'Assumptions'!$B$11)+'Assumptions'!$B$14*'Assumptions'!$B$8*'Assumptions'!$B$9*(1-'Assumptions'!$B$11))</x:f>
        <x:v>0</x:v>
      </x:c>
      <x:c r="D8" s="29" t="n">
        <x:f>D7*('Assumptions'!$B$13*'Assumptions'!$B$7*'Assumptions'!$B$9*(1-'Assumptions'!$B$11)+'Assumptions'!$B$14*'Assumptions'!$B$8*'Assumptions'!$B$9*(1-'Assumptions'!$B$11))</x:f>
        <x:v>49171.764703824</x:v>
      </x:c>
      <x:c r="E8" s="29" t="n">
        <x:f>E7*('Assumptions'!$B$13*'Assumptions'!$B$7*'Assumptions'!$B$9*(1-'Assumptions'!$B$11)+'Assumptions'!$B$14*'Assumptions'!$B$8*'Assumptions'!$B$9*(1-'Assumptions'!$B$11))</x:f>
        <x:v>97432.941172392</x:v>
      </x:c>
      <x:c r="F8" s="29" t="n">
        <x:f>F7*('Assumptions'!$B$13*'Assumptions'!$B$7*'Assumptions'!$B$9*(1-'Assumptions'!$B$11)+'Assumptions'!$B$14*'Assumptions'!$B$8*'Assumptions'!$B$9*(1-'Assumptions'!$B$11))</x:f>
        <x:v>146604.705876216</x:v>
      </x:c>
      <x:c r="G8" s="29" t="n">
        <x:f>G7*('Assumptions'!$B$13*'Assumptions'!$B$7*'Assumptions'!$B$9*(1-'Assumptions'!$B$11)+'Assumptions'!$B$14*'Assumptions'!$B$8*'Assumptions'!$B$9*(1-'Assumptions'!$B$11))</x:f>
        <x:v>194865.882344784</x:v>
      </x:c>
      <x:c r="H8" s="29" t="n">
        <x:f>H7*('Assumptions'!$B$13*'Assumptions'!$B$7*'Assumptions'!$B$9*(1-'Assumptions'!$B$11)+'Assumptions'!$B$14*'Assumptions'!$B$8*'Assumptions'!$B$9*(1-'Assumptions'!$B$11))</x:f>
        <x:v>194865.882344784</x:v>
      </x:c>
      <x:c r="I8" s="29" t="n">
        <x:f>I7*('Assumptions'!$B$13*'Assumptions'!$B$7*'Assumptions'!$B$9*(1-'Assumptions'!$B$11)+'Assumptions'!$B$14*'Assumptions'!$B$8*'Assumptions'!$B$9*(1-'Assumptions'!$B$11))</x:f>
        <x:v>194865.882344784</x:v>
      </x:c>
      <x:c r="J8" s="29" t="n">
        <x:f>J7*('Assumptions'!$B$13*'Assumptions'!$B$7*'Assumptions'!$B$9*(1-'Assumptions'!$B$11)+'Assumptions'!$B$14*'Assumptions'!$B$8*'Assumptions'!$B$9*(1-'Assumptions'!$B$11))</x:f>
        <x:v>194865.882344784</x:v>
      </x:c>
      <x:c r="K8" s="29" t="n">
        <x:f>K7*('Assumptions'!$B$13*'Assumptions'!$B$7*'Assumptions'!$B$9*(1-'Assumptions'!$B$11)+'Assumptions'!$B$14*'Assumptions'!$B$8*'Assumptions'!$B$9*(1-'Assumptions'!$B$11))</x:f>
        <x:v>194865.882344784</x:v>
      </x:c>
      <x:c r="L8" s="29" t="n">
        <x:f>L7*('Assumptions'!$B$13*'Assumptions'!$B$7*'Assumptions'!$B$9*(1-'Assumptions'!$B$11)+'Assumptions'!$B$14*'Assumptions'!$B$8*'Assumptions'!$B$9*(1-'Assumptions'!$B$11))</x:f>
        <x:v>194865.882344784</x:v>
      </x:c>
      <x:c r="M8" s="29" t="n">
        <x:f>M7*('Assumptions'!$B$13*'Assumptions'!$B$7*'Assumptions'!$B$9*(1-'Assumptions'!$B$11)+'Assumptions'!$B$14*'Assumptions'!$B$8*'Assumptions'!$B$9*(1-'Assumptions'!$B$11))</x:f>
        <x:v>194865.882344784</x:v>
      </x:c>
      <x:c r="N8" s="29" t="n">
        <x:f>SUM(B8:M8)</x:f>
        <x:v>1657270.58816592</x:v>
      </x:c>
    </x:row>
    <x:row r="9">
      <x:c r="A9" s="25" t="str">
        <x:v>Direct cost to serve</x:v>
      </x:c>
      <x:c r="B9" s="29" t="n">
        <x:f>-B7*'Assumptions'!$B$15</x:f>
        <x:v>0</x:v>
      </x:c>
      <x:c r="C9" s="29" t="n">
        <x:f>-C7*'Assumptions'!$B$15</x:f>
        <x:v>0</x:v>
      </x:c>
      <x:c r="D9" s="29" t="n">
        <x:f>-D7*'Assumptions'!$B$15</x:f>
        <x:v>-12991.131000000001</x:v>
      </x:c>
      <x:c r="E9" s="29" t="n">
        <x:f>-E7*'Assumptions'!$B$15</x:f>
        <x:v>-25741.6855</x:v>
      </x:c>
      <x:c r="F9" s="29" t="n">
        <x:f>-F7*'Assumptions'!$B$15</x:f>
        <x:v>-38732.8165</x:v>
      </x:c>
      <x:c r="G9" s="29" t="n">
        <x:f>-G7*'Assumptions'!$B$15</x:f>
        <x:v>-51483.371</x:v>
      </x:c>
      <x:c r="H9" s="29" t="n">
        <x:f>-H7*'Assumptions'!$B$15</x:f>
        <x:v>-51483.371</x:v>
      </x:c>
      <x:c r="I9" s="29" t="n">
        <x:f>-I7*'Assumptions'!$B$15</x:f>
        <x:v>-51483.371</x:v>
      </x:c>
      <x:c r="J9" s="29" t="n">
        <x:f>-J7*'Assumptions'!$B$15</x:f>
        <x:v>-51483.371</x:v>
      </x:c>
      <x:c r="K9" s="29" t="n">
        <x:f>-K7*'Assumptions'!$B$15</x:f>
        <x:v>-51483.371</x:v>
      </x:c>
      <x:c r="L9" s="29" t="n">
        <x:f>-L7*'Assumptions'!$B$15</x:f>
        <x:v>-51483.371</x:v>
      </x:c>
      <x:c r="M9" s="29" t="n">
        <x:f>-M7*'Assumptions'!$B$15</x:f>
        <x:v>-51483.371</x:v>
      </x:c>
      <x:c r="N9" s="29" t="n">
        <x:f>SUM(B9:M9)</x:f>
        <x:v>-437849.2299999999</x:v>
      </x:c>
    </x:row>
    <x:row r="10">
      <x:c r="A10" s="25" t="str">
        <x:v>Contribution</x:v>
      </x:c>
      <x:c r="B10" s="29" t="n">
        <x:f>B8+B9</x:f>
        <x:v>0</x:v>
      </x:c>
      <x:c r="C10" s="29" t="n">
        <x:f>C8+C9</x:f>
        <x:v>0</x:v>
      </x:c>
      <x:c r="D10" s="29" t="n">
        <x:f>D8+D9</x:f>
        <x:v>36180.633703824</x:v>
      </x:c>
      <x:c r="E10" s="29" t="n">
        <x:f>E8+E9</x:f>
        <x:v>71691.255672392</x:v>
      </x:c>
      <x:c r="F10" s="29" t="n">
        <x:f>F8+F9</x:f>
        <x:v>107871.889376216</x:v>
      </x:c>
      <x:c r="G10" s="29" t="n">
        <x:f>G8+G9</x:f>
        <x:v>143382.511344784</x:v>
      </x:c>
      <x:c r="H10" s="29" t="n">
        <x:f>H8+H9</x:f>
        <x:v>143382.511344784</x:v>
      </x:c>
      <x:c r="I10" s="29" t="n">
        <x:f>I8+I9</x:f>
        <x:v>143382.511344784</x:v>
      </x:c>
      <x:c r="J10" s="29" t="n">
        <x:f>J8+J9</x:f>
        <x:v>143382.511344784</x:v>
      </x:c>
      <x:c r="K10" s="29" t="n">
        <x:f>K8+K9</x:f>
        <x:v>143382.511344784</x:v>
      </x:c>
      <x:c r="L10" s="29" t="n">
        <x:f>L8+L9</x:f>
        <x:v>143382.511344784</x:v>
      </x:c>
      <x:c r="M10" s="29" t="n">
        <x:f>M8+M9</x:f>
        <x:v>143382.511344784</x:v>
      </x:c>
      <x:c r="N10" s="29" t="n">
        <x:f>SUM(B10:M10)</x:f>
        <x:v>1219421.3581659198</x:v>
      </x:c>
    </x:row>
    <x:row r="11">
      <x:c r="A11" s="47" t="str">
        <x:v>Operating costs</x:v>
      </x:c>
      <x:c r="B11" s="48" t="n">
        <x:v>3681250</x:v>
      </x:c>
      <x:c r="C11" s="48" t="n">
        <x:v>1381250</x:v>
      </x:c>
      <x:c r="D11" s="48" t="n">
        <x:v>1381250</x:v>
      </x:c>
      <x:c r="E11" s="48" t="n">
        <x:v>1381250</x:v>
      </x:c>
      <x:c r="F11" s="48" t="n">
        <x:v>1381250</x:v>
      </x:c>
      <x:c r="G11" s="48" t="n">
        <x:v>1381250</x:v>
      </x:c>
      <x:c r="H11" s="48" t="n">
        <x:v>1381250</x:v>
      </x:c>
      <x:c r="I11" s="48" t="n">
        <x:v>1381250</x:v>
      </x:c>
      <x:c r="J11" s="48" t="n">
        <x:v>1381250</x:v>
      </x:c>
      <x:c r="K11" s="48" t="n">
        <x:v>1381250</x:v>
      </x:c>
      <x:c r="L11" s="48" t="n">
        <x:v>1381250</x:v>
      </x:c>
      <x:c r="M11" s="48" t="n">
        <x:v>1381250</x:v>
      </x:c>
      <x:c r="N11" s="48" t="n">
        <x:f>SUM(B11:M11)</x:f>
        <x:v>18875000</x:v>
      </x:c>
    </x:row>
    <x:row r="12">
      <x:c r="A12" s="49" t="str">
        <x:v>Pre-tax operating profit/(loss)</x:v>
      </x:c>
      <x:c r="B12" s="50" t="n">
        <x:f>B10-B11</x:f>
        <x:v>-3681250</x:v>
      </x:c>
      <x:c r="C12" s="50" t="n">
        <x:f>C10-C11</x:f>
        <x:v>-1381250</x:v>
      </x:c>
      <x:c r="D12" s="50" t="n">
        <x:f>D10-D11</x:f>
        <x:v>-1345069.366296176</x:v>
      </x:c>
      <x:c r="E12" s="50" t="n">
        <x:f>E10-E11</x:f>
        <x:v>-1309558.744327608</x:v>
      </x:c>
      <x:c r="F12" s="50" t="n">
        <x:f>F10-F11</x:f>
        <x:v>-1273378.110623784</x:v>
      </x:c>
      <x:c r="G12" s="50" t="n">
        <x:f>G10-G11</x:f>
        <x:v>-1237867.488655216</x:v>
      </x:c>
      <x:c r="H12" s="50" t="n">
        <x:f>H10-H11</x:f>
        <x:v>-1237867.488655216</x:v>
      </x:c>
      <x:c r="I12" s="50" t="n">
        <x:f>I10-I11</x:f>
        <x:v>-1237867.488655216</x:v>
      </x:c>
      <x:c r="J12" s="50" t="n">
        <x:f>J10-J11</x:f>
        <x:v>-1237867.488655216</x:v>
      </x:c>
      <x:c r="K12" s="50" t="n">
        <x:f>K10-K11</x:f>
        <x:v>-1237867.488655216</x:v>
      </x:c>
      <x:c r="L12" s="50" t="n">
        <x:f>L10-L11</x:f>
        <x:v>-1237867.488655216</x:v>
      </x:c>
      <x:c r="M12" s="50" t="n">
        <x:f>M10-M11</x:f>
        <x:v>-1237867.488655216</x:v>
      </x:c>
      <x:c r="N12" s="50" t="n">
        <x:f>SUM(B12:M12)</x:f>
        <x:v>-17655578.641834088</x:v>
      </x:c>
    </x:row>
    <x:row r="13">
      <x:c r="A13" s="25" t="str">
        <x:v>Opening cash</x:v>
      </x:c>
      <x:c r="B13" s="29" t="n">
        <x:f>'Assumptions'!$B$18</x:f>
        <x:v>18900000</x:v>
      </x:c>
      <x:c r="C13" s="29" t="n">
        <x:f>B14</x:f>
        <x:v>15218750</x:v>
      </x:c>
      <x:c r="D13" s="29" t="n">
        <x:f>C14</x:f>
        <x:v>13837500</x:v>
      </x:c>
      <x:c r="E13" s="29" t="n">
        <x:f>D14</x:f>
        <x:v>12492430.633703824</x:v>
      </x:c>
      <x:c r="F13" s="29" t="n">
        <x:f>E14</x:f>
        <x:v>11182871.889376216</x:v>
      </x:c>
      <x:c r="G13" s="29" t="n">
        <x:f>F14</x:f>
        <x:v>9909493.778752431</x:v>
      </x:c>
      <x:c r="H13" s="29" t="n">
        <x:f>G14</x:f>
        <x:v>8671626.290097214</x:v>
      </x:c>
      <x:c r="I13" s="29" t="n">
        <x:f>H14</x:f>
        <x:v>7433758.801441998</x:v>
      </x:c>
      <x:c r="J13" s="29" t="n">
        <x:f>I14</x:f>
        <x:v>6195891.312786782</x:v>
      </x:c>
      <x:c r="K13" s="29" t="n">
        <x:f>J14</x:f>
        <x:v>4958023.824131566</x:v>
      </x:c>
      <x:c r="L13" s="29" t="n">
        <x:f>K14</x:f>
        <x:v>3720156.33547635</x:v>
      </x:c>
      <x:c r="M13" s="29" t="n">
        <x:f>L14</x:f>
        <x:v>2482288.846821134</x:v>
      </x:c>
      <x:c r="N13" s="29"/>
    </x:row>
    <x:row r="14">
      <x:c r="A14" s="51" t="str">
        <x:v>Closing cash</x:v>
      </x:c>
      <x:c r="B14" s="52" t="n">
        <x:f>B13+B12</x:f>
        <x:v>15218750</x:v>
      </x:c>
      <x:c r="C14" s="52" t="n">
        <x:f>C13+C12</x:f>
        <x:v>13837500</x:v>
      </x:c>
      <x:c r="D14" s="52" t="n">
        <x:f>D13+D12</x:f>
        <x:v>12492430.633703824</x:v>
      </x:c>
      <x:c r="E14" s="52" t="n">
        <x:f>E13+E12</x:f>
        <x:v>11182871.889376216</x:v>
      </x:c>
      <x:c r="F14" s="52" t="n">
        <x:f>F13+F12</x:f>
        <x:v>9909493.778752431</x:v>
      </x:c>
      <x:c r="G14" s="52" t="n">
        <x:f>G13+G12</x:f>
        <x:v>8671626.290097214</x:v>
      </x:c>
      <x:c r="H14" s="52" t="n">
        <x:f>H13+H12</x:f>
        <x:v>7433758.801441998</x:v>
      </x:c>
      <x:c r="I14" s="52" t="n">
        <x:f>I13+I12</x:f>
        <x:v>6195891.312786782</x:v>
      </x:c>
      <x:c r="J14" s="52" t="n">
        <x:f>J13+J12</x:f>
        <x:v>4958023.824131566</x:v>
      </x:c>
      <x:c r="K14" s="52" t="n">
        <x:f>K13+K12</x:f>
        <x:v>3720156.33547635</x:v>
      </x:c>
      <x:c r="L14" s="52" t="n">
        <x:f>L13+L12</x:f>
        <x:v>2482288.846821134</x:v>
      </x:c>
      <x:c r="M14" s="52" t="n">
        <x:f>M13+M12</x:f>
        <x:v>1244421.358165918</x:v>
      </x:c>
      <x:c r="N14" s="52" t="n">
        <x:f>M14</x:f>
        <x:v>1244421.358165918</x:v>
      </x:c>
    </x:row>
    <x:row r="15">
      <x:c r="A15" s="25" t="str">
        <x:v>Validation status</x:v>
      </x:c>
      <x:c r="B15" s="25" t="str">
        <x:v>Readiness</x:v>
      </x:c>
      <x:c r="C15" s="25" t="str">
        <x:v>Readiness</x:v>
      </x:c>
      <x:c r="D15" s="25" t="str">
        <x:v>Live</x:v>
      </x:c>
      <x:c r="E15" s="25" t="str">
        <x:v>Live</x:v>
      </x:c>
      <x:c r="F15" s="25" t="str">
        <x:v>Live</x:v>
      </x:c>
      <x:c r="G15" s="25" t="str">
        <x:v>Live</x:v>
      </x:c>
      <x:c r="H15" s="25" t="str">
        <x:v>Live</x:v>
      </x:c>
      <x:c r="I15" s="25" t="str">
        <x:v>Live</x:v>
      </x:c>
      <x:c r="J15" s="25" t="str">
        <x:v>Live</x:v>
      </x:c>
      <x:c r="K15" s="25" t="str">
        <x:v>Live</x:v>
      </x:c>
      <x:c r="L15" s="25" t="str">
        <x:v>Live</x:v>
      </x:c>
      <x:c r="M15" s="25" t="str">
        <x:v>Live</x:v>
      </x:c>
      <x:c r="N15" s="25" t="str">
        <x:v>Projected</x:v>
      </x:c>
    </x:row>
  </x:sheetData>
  <x:mergeCells>
    <x:mergeCell ref="A2:N2"/>
    <x:mergeCell ref="A4:N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5595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23" hidden="0" customWidth="1"/>
    <x:col min="4" max="4" width="23" hidden="0" customWidth="1"/>
  </x:cols>
  <x:sheetData>
    <x:row r="2">
      <x:c r="A2" s="2" t="str">
        <x:v>24-month company-profit projection</x:v>
      </x:c>
    </x:row>
    <x:row r="3">
      <x:c r="A3" s="3"/>
      <x:c r="B3" s="3"/>
      <x:c r="C3" s="3"/>
      <x:c r="D3" s="3"/>
      <x:c r="E3" s="3"/>
      <x:c r="F3" s="3"/>
    </x:row>
    <x:row r="4">
      <x:c r="A4" s="4" t="str">
        <x:v>Projected company pre-tax operating profit. It does not state an investor dividend, payout, or return.</x:v>
      </x:c>
    </x:row>
    <x:row r="6">
      <x:c r="A6" s="10" t="str">
        <x:v>Metric</x:v>
      </x:c>
      <x:c r="B6" s="10" t="str">
        <x:v>Year 1 validation</x:v>
      </x:c>
      <x:c r="C6" s="10" t="str">
        <x:v>Year 2 scale</x:v>
      </x:c>
      <x:c r="D6" s="10" t="str">
        <x:v>24-month total</x:v>
      </x:c>
    </x:row>
    <x:row r="7">
      <x:c r="A7" s="25" t="str">
        <x:v>Completed consultations</x:v>
      </x:c>
      <x:c r="B7" s="46" t="n">
        <x:f>'Validation Forecast'!N7</x:f>
        <x:v>1820</x:v>
      </x:c>
      <x:c r="C7" s="46" t="n">
        <x:f>CEILING((ABS(C13)+ABS(B14)+'Assumptions'!$B$22)/C22,1)</x:f>
        <x:v>204707</x:v>
      </x:c>
      <x:c r="D7" s="46" t="n">
        <x:f>B7+C7</x:f>
        <x:v>206527</x:v>
      </x:c>
    </x:row>
    <x:row r="8">
      <x:c r="A8" s="25" t="str">
        <x:v>Gross platform commission</x:v>
      </x:c>
      <x:c r="B8" s="29" t="n">
        <x:f>'Validation Forecast'!N8/(1-'Assumptions'!$B$11)</x:f>
        <x:v>1841411.7646287999</x:v>
      </x:c>
      <x:c r="C8" s="29" t="n">
        <x:f>C7*('Assumptions'!$B$13*'Assumptions'!$B$7*'Assumptions'!$B$9+'Assumptions'!$B$14*'Assumptions'!$B$8*'Assumptions'!$B$9)</x:f>
        <x:v>207115317.63838887</x:v>
      </x:c>
      <x:c r="D8" s="29" t="n">
        <x:f>B8+C8</x:f>
        <x:v>208956729.40301767</x:v>
      </x:c>
    </x:row>
    <x:row r="9">
      <x:c r="A9" s="25" t="str">
        <x:v>Payment processing cost</x:v>
      </x:c>
      <x:c r="B9" s="29" t="n">
        <x:f>-B8*'Assumptions'!$B$11</x:f>
        <x:v>-184141.17646288</x:v>
      </x:c>
      <x:c r="C9" s="29" t="n">
        <x:f>-C8*'Assumptions'!$B$11</x:f>
        <x:v>-20711531.763838887</x:v>
      </x:c>
      <x:c r="D9" s="29" t="n">
        <x:f>B9+C9</x:f>
        <x:v>-20895672.94030177</x:v>
      </x:c>
    </x:row>
    <x:row r="10">
      <x:c r="A10" s="25" t="str">
        <x:v>Net platform revenue</x:v>
      </x:c>
      <x:c r="B10" s="29" t="n">
        <x:f>B8+B9</x:f>
        <x:v>1657270.5881659198</x:v>
      </x:c>
      <x:c r="C10" s="29" t="n">
        <x:f>C8+C9</x:f>
        <x:v>186403785.87454998</x:v>
      </x:c>
      <x:c r="D10" s="29" t="n">
        <x:f>B10+C10</x:f>
        <x:v>188061056.4627159</x:v>
      </x:c>
    </x:row>
    <x:row r="11">
      <x:c r="A11" s="25" t="str">
        <x:v>Direct cost to serve</x:v>
      </x:c>
      <x:c r="B11" s="29" t="n">
        <x:f>'Validation Forecast'!N9</x:f>
        <x:v>-437849.2299999999</x:v>
      </x:c>
      <x:c r="C11" s="29" t="n">
        <x:f>-C7*'Assumptions'!$B$15</x:f>
        <x:v>-49247693.5855</x:v>
      </x:c>
      <x:c r="D11" s="29" t="n">
        <x:f>B11+C11</x:f>
        <x:v>-49685542.8155</x:v>
      </x:c>
    </x:row>
    <x:row r="12">
      <x:c r="A12" s="25" t="str">
        <x:v>Contribution</x:v>
      </x:c>
      <x:c r="B12" s="29" t="n">
        <x:f>'Validation Forecast'!N10</x:f>
        <x:v>1219421.3581659198</x:v>
      </x:c>
      <x:c r="C12" s="29" t="n">
        <x:f>C10+C11</x:f>
        <x:v>137156092.28904998</x:v>
      </x:c>
      <x:c r="D12" s="29" t="n">
        <x:f>B12+C12</x:f>
        <x:v>138375513.6472159</x:v>
      </x:c>
    </x:row>
    <x:row r="13">
      <x:c r="A13" s="25" t="str">
        <x:v>Fixed operating costs</x:v>
      </x:c>
      <x:c r="B13" s="29" t="n">
        <x:f>-'Assumptions'!$B$19</x:f>
        <x:v>-18875000</x:v>
      </x:c>
      <x:c r="C13" s="29" t="n">
        <x:f>-'Assumptions'!$B$21</x:f>
        <x:v>-100600188</x:v>
      </x:c>
      <x:c r="D13" s="29" t="n">
        <x:f>B13+C13</x:f>
        <x:v>-119475188</x:v>
      </x:c>
    </x:row>
    <x:row r="14">
      <x:c r="A14" s="47" t="str">
        <x:v>Pre-tax operating profit/(loss)</x:v>
      </x:c>
      <x:c r="B14" s="48" t="n">
        <x:f>B12+B13</x:f>
        <x:v>-17655578.64183408</x:v>
      </x:c>
      <x:c r="C14" s="48" t="n">
        <x:f>C12+C13</x:f>
        <x:v>36555904.28904998</x:v>
      </x:c>
      <x:c r="D14" s="48" t="n">
        <x:f>B14+C14</x:f>
        <x:v>18900325.647215903</x:v>
      </x:c>
    </x:row>
    <x:row r="15">
      <x:c r="A15" s="47" t="str">
        <x:v>Cumulative pre-tax operating profit</x:v>
      </x:c>
      <x:c r="B15" s="48" t="n">
        <x:f>B14</x:f>
        <x:v>-17655578.64183408</x:v>
      </x:c>
      <x:c r="C15" s="48" t="n">
        <x:f>B14+C14</x:f>
        <x:v>18900325.647215903</x:v>
      </x:c>
      <x:c r="D15" s="48" t="n">
        <x:f>C15</x:f>
        <x:v>18900325.647215903</x:v>
      </x:c>
    </x:row>
    <x:row r="16">
      <x:c r="A16" s="51" t="str">
        <x:v>Profit target</x:v>
      </x:c>
      <x:c r="B16" s="52"/>
      <x:c r="C16" s="52"/>
      <x:c r="D16" s="52" t="n">
        <x:f>'Assumptions'!$B$22</x:f>
        <x:v>18900000</x:v>
      </x:c>
    </x:row>
    <x:row r="17">
      <x:c r="A17" s="51" t="str">
        <x:v>Target reached</x:v>
      </x:c>
      <x:c r="B17" s="51"/>
      <x:c r="C17" s="51"/>
      <x:c r="D17" s="51" t="str">
        <x:f>IF(D15&gt;=D16,"Yes — projected","No")</x:f>
        <x:v>Yes — projected</x:v>
      </x:c>
    </x:row>
    <x:row r="18">
      <x:c r="A18" s="25" t="str">
        <x:v>Required Year-2 monthly consultations</x:v>
      </x:c>
      <x:c r="B18" s="25"/>
      <x:c r="C18" s="25"/>
      <x:c r="D18" s="46" t="n">
        <x:f>C7/12</x:f>
        <x:v>17058.916666666668</x:v>
      </x:c>
    </x:row>
    <x:row r="19">
      <x:c r="A19" s="25"/>
      <x:c r="B19" s="25"/>
      <x:c r="C19" s="25"/>
      <x:c r="D19" s="25"/>
    </x:row>
    <x:row r="20">
      <x:c r="A20" s="18" t="str">
        <x:v>Pricing sensitivity</x:v>
      </x:c>
      <x:c r="B20" s="18" t="str">
        <x:v>15% commission</x:v>
      </x:c>
      <x:c r="C20" s="18" t="str">
        <x:v>20% commission</x:v>
      </x:c>
      <x:c r="D20" s="18" t="str">
        <x:v>Interpretation</x:v>
      </x:c>
    </x:row>
    <x:row r="21">
      <x:c r="A21" s="25" t="str">
        <x:v>Net revenue / consultation</x:v>
      </x:c>
      <x:c r="B21" s="29" t="n">
        <x:f>'Assumptions'!$B$13*'Assumptions'!$B$7*'Assumptions'!$B$10*(1-'Assumptions'!$B$11)+'Assumptions'!$B$14*'Assumptions'!$B$8*'Assumptions'!$B$10*(1-'Assumptions'!$B$11)</x:f>
        <x:v>682.9411764419999</x:v>
      </x:c>
      <x:c r="C21" s="29" t="n">
        <x:f>'Assumptions'!$B$13*'Assumptions'!$B$7*'Assumptions'!$B$9*(1-'Assumptions'!$B$11)+'Assumptions'!$B$14*'Assumptions'!$B$8*'Assumptions'!$B$9*(1-'Assumptions'!$B$11)</x:f>
        <x:v>910.5882352560001</x:v>
      </x:c>
      <x:c r="D21" s="25" t="str">
        <x:v>Before direct service cost</x:v>
      </x:c>
    </x:row>
    <x:row r="22">
      <x:c r="A22" s="25" t="str">
        <x:v>Contribution / consultation</x:v>
      </x:c>
      <x:c r="B22" s="29" t="n">
        <x:f>B21-'Assumptions'!$B$15</x:f>
        <x:v>442.3646764419999</x:v>
      </x:c>
      <x:c r="C22" s="29" t="n">
        <x:f>C21-'Assumptions'!$B$15</x:f>
        <x:v>670.0117352560001</x:v>
      </x:c>
      <x:c r="D22" s="25" t="str">
        <x:v>After direct cost</x:v>
      </x:c>
    </x:row>
    <x:row r="23">
      <x:c r="A23" s="25" t="str">
        <x:v>Break-even consultations / Year 2</x:v>
      </x:c>
      <x:c r="B23" s="46" t="n">
        <x:f>CEILING('Assumptions'!$B$21/B22,1)</x:f>
        <x:v>227415</x:v>
      </x:c>
      <x:c r="C23" s="46" t="n">
        <x:f>CEILING('Assumptions'!$B$21/C22,1)</x:f>
        <x:v>150147</x:v>
      </x:c>
      <x:c r="D23" s="25" t="str">
        <x:v>Fixed scale costs ÷ contribution</x:v>
      </x:c>
    </x:row>
    <x:row r="24">
      <x:c r="A24" s="25" t="str">
        <x:v>Consultations for ₦18.9m cumulative profit</x:v>
      </x:c>
      <x:c r="B24" s="46" t="n">
        <x:f>CEILING(('Assumptions'!$B$21+ABS(B14)+'Assumptions'!$B$22)/B22,1)</x:f>
        <x:v>310052</x:v>
      </x:c>
      <x:c r="C24" s="46" t="n">
        <x:f>C7</x:f>
        <x:v>204707</x:v>
      </x:c>
      <x:c r="D24" s="25" t="str">
        <x:v>Primary outcome uses the 20% case</x:v>
      </x:c>
    </x:row>
  </x:sheetData>
  <x:mergeCells>
    <x:mergeCell ref="A2:F2"/>
    <x:mergeCell ref="A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5595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8" hidden="0" customWidth="1"/>
  </x:cols>
  <x:sheetData>
    <x:row r="2">
      <x:c r="A2" s="2" t="str">
        <x:v>Bottom-up consultation-capacity market sizing</x:v>
      </x:c>
    </x:row>
    <x:row r="3">
      <x:c r="A3" s="3"/>
      <x:c r="B3" s="3"/>
      <x:c r="C3" s="3"/>
      <x:c r="D3" s="3"/>
      <x:c r="E3" s="3"/>
      <x:c r="F3" s="3"/>
      <x:c r="G3" s="3"/>
    </x:row>
    <x:row r="4">
      <x:c r="A4" s="4" t="str">
        <x:v>Capacity figures are planning ranges. They do not imply demand, contracts, market share, or signed provider availability.</x:v>
      </x:c>
    </x:row>
    <x:row r="6">
      <x:c r="A6" s="10" t="str">
        <x:v>Market layer</x:v>
      </x:c>
      <x:c r="B6" s="10" t="str">
        <x:v>Provider base</x:v>
      </x:c>
      <x:c r="C6" s="10" t="str">
        <x:v>GP allocated</x:v>
      </x:c>
      <x:c r="D6" s="10" t="str">
        <x:v>Gyn allocated</x:v>
      </x:c>
      <x:c r="E6" s="10" t="str">
        <x:v>Annual low capacity</x:v>
      </x:c>
      <x:c r="F6" s="10" t="str">
        <x:v>Annual high capacity</x:v>
      </x:c>
      <x:c r="G6" s="10" t="str">
        <x:v>Definition</x:v>
      </x:c>
    </x:row>
    <x:row r="7">
      <x:c r="A7" s="31" t="str">
        <x:v>SOM</x:v>
      </x:c>
      <x:c r="B7" s="57" t="n">
        <x:f>'Profit Target'!C7</x:f>
        <x:v>204707</x:v>
      </x:c>
      <x:c r="C7" s="57"/>
      <x:c r="D7" s="57"/>
      <x:c r="E7" s="57" t="n">
        <x:f>B7</x:f>
        <x:v>204707</x:v>
      </x:c>
      <x:c r="F7" s="57" t="n">
        <x:f>B7</x:f>
        <x:v>204707</x:v>
      </x:c>
      <x:c r="G7" s="31" t="str">
        <x:v>Year-2 completed consultations required for ₦18.9m cumulative company profit by Month 24</x:v>
      </x:c>
    </x:row>
    <x:row r="8">
      <x:c r="A8" s="31" t="str">
        <x:v>SAM</x:v>
      </x:c>
      <x:c r="B8" s="57" t="n">
        <x:f>SUM('Assumptions'!B26:B28)</x:f>
        <x:v>6530</x:v>
      </x:c>
      <x:c r="C8" s="57" t="n">
        <x:f>B8*'Assumptions'!$B$13</x:f>
        <x:v>5377.647059054</x:v>
      </x:c>
      <x:c r="D8" s="57" t="n">
        <x:f>B8*'Assumptions'!$B$14</x:f>
        <x:v>1152.3529409459995</x:v>
      </x:c>
      <x:c r="E8" s="57" t="n">
        <x:f>(C8*'Assumptions'!$B$30+D8*'Assumptions'!$B$32)*12*'Assumptions'!$B$29</x:f>
        <x:v>2108805.88240134</x:v>
      </x:c>
      <x:c r="F8" s="57" t="n">
        <x:f>(C8*'Assumptions'!$B$31+D8*'Assumptions'!$B$33)*12*'Assumptions'!$B$29</x:f>
        <x:v>3572294.1177162</x:v>
      </x:c>
      <x:c r="G8" s="31" t="str">
        <x:v>Lagos, Ogun, and FCT capacity at a 5% Monovella-available allocation</x:v>
      </x:c>
    </x:row>
    <x:row r="9">
      <x:c r="A9" s="31" t="str">
        <x:v>TAM</x:v>
      </x:c>
      <x:c r="B9" s="57" t="n">
        <x:f>'Assumptions'!B25</x:f>
        <x:v>66241</x:v>
      </x:c>
      <x:c r="C9" s="57" t="n">
        <x:f>B9*'Assumptions'!$B$13</x:f>
        <x:v>54551.411767043806</x:v>
      </x:c>
      <x:c r="D9" s="57" t="n">
        <x:f>B9*'Assumptions'!$B$14</x:f>
        <x:v>11689.588232956195</x:v>
      </x:c>
      <x:c r="E9" s="57" t="n">
        <x:f>(C9*'Assumptions'!$B$30+D9*'Assumptions'!$B$32)*12*'Assumptions'!$B$29</x:f>
        <x:v>21391946.4710792</x:v>
      </x:c>
      <x:c r="F9" s="57" t="n">
        <x:f>(C9*'Assumptions'!$B$31+D9*'Assumptions'!$B$33)*12*'Assumptions'!$B$29</x:f>
        <x:v>36237723.530113146</x:v>
      </x:c>
      <x:c r="G9" s="31" t="str">
        <x:v>National capacity at a 5% Monovella-available allocation</x:v>
      </x:c>
    </x:row>
    <x:row r="10">
      <x:c r="A10" s="31"/>
      <x:c r="B10" s="31"/>
      <x:c r="C10" s="31"/>
      <x:c r="D10" s="31"/>
      <x:c r="E10" s="31"/>
      <x:c r="F10" s="31"/>
      <x:c r="G10" s="31"/>
    </x:row>
    <x:row r="11">
      <x:c r="A11" s="31"/>
      <x:c r="B11" s="31"/>
      <x:c r="C11" s="31"/>
      <x:c r="D11" s="31"/>
      <x:c r="E11" s="31"/>
      <x:c r="F11" s="31"/>
      <x:c r="G11" s="31"/>
    </x:row>
    <x:row r="12">
      <x:c r="A12" s="58" t="str">
        <x:v>Capacity and feasibility checks</x:v>
      </x:c>
      <x:c r="B12" s="58" t="str">
        <x:v>Value</x:v>
      </x:c>
      <x:c r="C12" s="58" t="str"/>
      <x:c r="D12" s="58" t="str"/>
      <x:c r="E12" s="58" t="str"/>
      <x:c r="F12" s="58" t="str"/>
      <x:c r="G12" s="58" t="str"/>
    </x:row>
    <x:row r="13">
      <x:c r="A13" s="31" t="str">
        <x:v>Required Year-2 monthly SOM</x:v>
      </x:c>
      <x:c r="B13" s="57" t="n">
        <x:f>B7/12</x:f>
        <x:v>17058.916666666668</x:v>
      </x:c>
      <x:c r="C13" s="31"/>
      <x:c r="D13" s="31"/>
      <x:c r="E13" s="31"/>
      <x:c r="F13" s="31"/>
      <x:c r="G13" s="31"/>
    </x:row>
    <x:row r="14">
      <x:c r="A14" s="31" t="str">
        <x:v>SAM low capacity covers SOM</x:v>
      </x:c>
      <x:c r="B14" s="57" t="str">
        <x:f>IF(E8&gt;=B7,"Yes — capacity only","No")</x:f>
        <x:v>Yes — capacity only</x:v>
      </x:c>
      <x:c r="C14" s="31"/>
      <x:c r="D14" s="31"/>
      <x:c r="E14" s="31"/>
      <x:c r="F14" s="31"/>
      <x:c r="G14" s="31"/>
    </x:row>
    <x:row r="15">
      <x:c r="A15" s="31" t="str">
        <x:v>SAM high capacity covers SOM</x:v>
      </x:c>
      <x:c r="B15" s="57" t="str">
        <x:f>IF(F8&gt;=B7,"Yes — capacity only","No")</x:f>
        <x:v>Yes — capacity only</x:v>
      </x:c>
      <x:c r="C15" s="31"/>
      <x:c r="D15" s="31"/>
      <x:c r="E15" s="31"/>
      <x:c r="F15" s="31"/>
      <x:c r="G15" s="31"/>
    </x:row>
    <x:row r="16">
      <x:c r="A16" s="31" t="str">
        <x:v>Minimum active provider-equivalents at low capacity</x:v>
      </x:c>
      <x:c r="B16" s="57" t="n">
        <x:f>CEILING(B7/((('Assumptions'!$B$30*'Assumptions'!$B$13)+('Assumptions'!$B$32*'Assumptions'!$B$14))*'Assumptions'!$B$29),1)</x:f>
        <x:v>7607</x:v>
      </x:c>
      <x:c r="C16" s="31"/>
      <x:c r="D16" s="31"/>
      <x:c r="E16" s="31"/>
      <x:c r="F16" s="31"/>
      <x:c r="G16" s="31"/>
    </x:row>
    <x:row r="17">
      <x:c r="A17" s="31" t="str">
        <x:v>Minimum active provider-equivalents at high capacity</x:v>
      </x:c>
      <x:c r="B17" s="57" t="n">
        <x:f>CEILING(B7/((('Assumptions'!$B$31*'Assumptions'!$B$13)+('Assumptions'!$B$33*'Assumptions'!$B$14))*'Assumptions'!$B$29),1)</x:f>
        <x:v>4491</x:v>
      </x:c>
      <x:c r="C17" s="31"/>
      <x:c r="D17" s="31"/>
      <x:c r="E17" s="31"/>
      <x:c r="F17" s="31"/>
      <x:c r="G17" s="31"/>
    </x:row>
    <x:row r="18">
      <x:c r="A18" s="31" t="str">
        <x:v>Interpretation</x:v>
      </x:c>
      <x:c r="B18" s="31" t="str">
        <x:v>SOM must be earned through a live supply and demand plan. Capacity alone does not establish revenue.</x:v>
      </x:c>
      <x:c r="C18" s="31"/>
      <x:c r="D18" s="31"/>
      <x:c r="E18" s="31"/>
      <x:c r="F18" s="31"/>
      <x:c r="G18" s="31"/>
    </x:row>
    <x:row r="19">
      <x:c r="A19" s="31"/>
      <x:c r="B19" s="31"/>
      <x:c r="C19" s="31"/>
      <x:c r="D19" s="31"/>
      <x:c r="E19" s="31"/>
      <x:c r="F19" s="31"/>
      <x:c r="G19" s="31"/>
    </x:row>
    <x:row r="20">
      <x:c r="A20" s="58" t="str">
        <x:v>Sources and evidence boundary</x:v>
      </x:c>
      <x:c r="B20" s="58" t="str"/>
      <x:c r="C20" s="58" t="str"/>
      <x:c r="D20" s="58" t="str"/>
      <x:c r="E20" s="58" t="str"/>
      <x:c r="F20" s="58" t="str"/>
      <x:c r="G20" s="58" t="str"/>
    </x:row>
    <x:row r="21">
      <x:c r="A21" s="31" t="str">
        <x:v>Doctor base</x:v>
      </x:c>
      <x:c r="B21" s="31" t="str">
        <x:v>FMoH State of Health of the Nation Report 2024</x:v>
      </x:c>
      <x:c r="C21" s="31" t="str">
        <x:v>Official national and state medical-doctor totals</x:v>
      </x:c>
      <x:c r="D21" s="31" t="str">
        <x:v>No current specialty split published in the cited report</x:v>
      </x:c>
      <x:c r="E21" s="31" t="str"/>
      <x:c r="F21" s="31" t="str"/>
      <x:c r="G21" s="31" t="str"/>
    </x:row>
    <x:row r="22">
      <x:c r="A22" s="31" t="str">
        <x:v>Provider volume</x:v>
      </x:c>
      <x:c r="B22" s="31" t="str">
        <x:v>Mentor-provided reference image</x:v>
      </x:c>
      <x:c r="C22" s="31" t="str">
        <x:v>GP 600–1,000/month; gynecology 250–500/month</x:v>
      </x:c>
      <x:c r="D22" s="31" t="str">
        <x:v>Planning capacity input</x:v>
      </x:c>
      <x:c r="E22" s="31" t="str"/>
      <x:c r="F22" s="31" t="str"/>
      <x:c r="G22" s="31" t="str"/>
    </x:row>
    <x:row r="23">
      <x:c r="A23" s="31" t="str">
        <x:v>Specialty split</x:v>
      </x:c>
      <x:c r="B23" s="31" t="str">
        <x:v>Assumptions sheet</x:v>
      </x:c>
      <x:c r="C23" s="31" t="str">
        <x:v>82.35% GP / 17.65% Gyn</x:v>
      </x:c>
      <x:c r="D23" s="31" t="str">
        <x:v>Provisional planning allocation, replace with workforce registry export</x:v>
      </x:c>
      <x:c r="E23" s="31" t="str"/>
      <x:c r="F23" s="31" t="str"/>
      <x:c r="G23" s="31" t="str"/>
    </x:row>
    <x:row r="24">
      <x:c r="A24" s="31" t="str">
        <x:v>Availability</x:v>
      </x:c>
      <x:c r="B24" s="31" t="str">
        <x:v>Assumptions sheet</x:v>
      </x:c>
      <x:c r="C24" s="31" t="str">
        <x:v>5%</x:v>
      </x:c>
      <x:c r="D24" s="31" t="str">
        <x:v>Planning allocation, replace with contracted or observed availability</x:v>
      </x:c>
      <x:c r="E24" s="31" t="str"/>
      <x:c r="F24" s="31" t="str"/>
      <x:c r="G24" s="31" t="str"/>
    </x:row>
  </x:sheetData>
  <x:mergeCells>
    <x:mergeCell ref="A2:G2"/>
    <x:mergeCell ref="A4:G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5595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28" hidden="0" customWidth="1"/>
    <x:col min="3" max="3" width="42" hidden="0" customWidth="1"/>
  </x:cols>
  <x:sheetData>
    <x:row r="2">
      <x:c r="A2" s="2" t="str">
        <x:v>Monovella investor financial summary</x:v>
      </x:c>
    </x:row>
    <x:row r="3">
      <x:c r="A3" s="3"/>
      <x:c r="B3" s="3"/>
      <x:c r="C3" s="3"/>
      <x:c r="D3" s="3"/>
      <x:c r="E3" s="3"/>
      <x:c r="F3" s="3"/>
    </x:row>
    <x:row r="4">
      <x:c r="A4" s="4" t="str">
        <x:v>All figures are projections. Monovella has no live platform revenue. The Month-24 target is company pre-tax operating profit, not an investor payout.</x:v>
      </x:c>
    </x:row>
    <x:row r="6">
      <x:c r="A6" s="10" t="str">
        <x:v>Investor question</x:v>
      </x:c>
      <x:c r="B6" s="10" t="str">
        <x:v>Answer</x:v>
      </x:c>
      <x:c r="C6" s="10" t="str">
        <x:v>Source</x:v>
      </x:c>
    </x:row>
    <x:row r="7">
      <x:c r="A7" s="25" t="str">
        <x:v>What is the ask?</x:v>
      </x:c>
      <x:c r="B7" s="29" t="n">
        <x:f>'Assumptions'!B18</x:f>
        <x:v>18900000</x:v>
      </x:c>
      <x:c r="C7" s="25" t="str">
        <x:v>Assumptions</x:v>
      </x:c>
    </x:row>
    <x:row r="8">
      <x:c r="A8" s="25" t="str">
        <x:v>What does the ask fund?</x:v>
      </x:c>
      <x:c r="B8" s="29" t="str">
        <x:v>A 12-month validation plan</x:v>
      </x:c>
      <x:c r="C8" s="25" t="str">
        <x:v>Validation Forecast</x:v>
      </x:c>
    </x:row>
    <x:row r="9">
      <x:c r="A9" s="25" t="str">
        <x:v>What is Year-1 projected revenue?</x:v>
      </x:c>
      <x:c r="B9" s="29" t="n">
        <x:f>'Profit Target'!B10</x:f>
        <x:v>1657270.5881659198</x:v>
      </x:c>
      <x:c r="C9" s="25" t="str">
        <x:v>Profit Target</x:v>
      </x:c>
    </x:row>
    <x:row r="10">
      <x:c r="A10" s="25" t="str">
        <x:v>What is Year-1 projected loss?</x:v>
      </x:c>
      <x:c r="B10" s="29" t="n">
        <x:f>'Profit Target'!B14</x:f>
        <x:v>-17655578.64183408</x:v>
      </x:c>
      <x:c r="C10" s="25" t="str">
        <x:v>Profit Target</x:v>
      </x:c>
    </x:row>
    <x:row r="11">
      <x:c r="A11" s="25" t="str">
        <x:v>What is the Month-24 company-profit target?</x:v>
      </x:c>
      <x:c r="B11" s="29" t="n">
        <x:f>'Profit Target'!D16</x:f>
        <x:v>18900000</x:v>
      </x:c>
      <x:c r="C11" s="25" t="str">
        <x:v>Profit Target</x:v>
      </x:c>
    </x:row>
    <x:row r="12">
      <x:c r="A12" s="25" t="str">
        <x:v>What annual consultation volume reaches it?</x:v>
      </x:c>
      <x:c r="B12" s="46" t="n">
        <x:f>'Profit Target'!C7</x:f>
        <x:v>204707</x:v>
      </x:c>
      <x:c r="C12" s="25" t="str">
        <x:v>Profit Target</x:v>
      </x:c>
    </x:row>
    <x:row r="13">
      <x:c r="A13" s="25" t="str">
        <x:v>What is the required monthly volume?</x:v>
      </x:c>
      <x:c r="B13" s="46" t="n">
        <x:f>'Profit Target'!D18</x:f>
        <x:v>17058.916666666668</x:v>
      </x:c>
      <x:c r="C13" s="25" t="str">
        <x:v>Profit Target</x:v>
      </x:c>
    </x:row>
    <x:row r="14">
      <x:c r="A14" s="25" t="str">
        <x:v>What is the Year-2 projected revenue?</x:v>
      </x:c>
      <x:c r="B14" s="29" t="n">
        <x:f>'Profit Target'!C10</x:f>
        <x:v>186403785.87454998</x:v>
      </x:c>
      <x:c r="C14" s="25" t="str">
        <x:v>Profit Target</x:v>
      </x:c>
    </x:row>
    <x:row r="15">
      <x:c r="A15" s="25" t="str">
        <x:v>What market definition is used?</x:v>
      </x:c>
      <x:c r="B15" s="25" t="str">
        <x:v>Completed paid consultation capacity</x:v>
      </x:c>
      <x:c r="C15" s="25" t="str">
        <x:v>Market Sizing</x:v>
      </x:c>
    </x:row>
    <x:row r="18">
      <x:c r="A18" s="10" t="str">
        <x:v>Sensitivity</x:v>
      </x:c>
      <x:c r="B18" s="10" t="str">
        <x:v>15% commission</x:v>
      </x:c>
      <x:c r="C18" s="10" t="str">
        <x:v>20% commission</x:v>
      </x:c>
    </x:row>
    <x:row r="19">
      <x:c r="A19" s="25" t="str">
        <x:v>Contribution per consultation</x:v>
      </x:c>
      <x:c r="B19" s="29" t="n">
        <x:f>'Profit Target'!B22</x:f>
        <x:v>442.3646764419999</x:v>
      </x:c>
      <x:c r="C19" s="29" t="n">
        <x:f>'Profit Target'!C22</x:f>
        <x:v>670.0117352560001</x:v>
      </x:c>
    </x:row>
    <x:row r="20">
      <x:c r="A20" s="25" t="str">
        <x:v>Year-2 break-even consultations</x:v>
      </x:c>
      <x:c r="B20" s="46" t="n">
        <x:f>'Profit Target'!B23</x:f>
        <x:v>227415</x:v>
      </x:c>
      <x:c r="C20" s="46" t="n">
        <x:f>'Profit Target'!C23</x:f>
        <x:v>150147</x:v>
      </x:c>
    </x:row>
    <x:row r="21">
      <x:c r="A21" s="25" t="str">
        <x:v>Consultations for target</x:v>
      </x:c>
      <x:c r="B21" s="46" t="n">
        <x:f>'Profit Target'!B24</x:f>
        <x:v>310052</x:v>
      </x:c>
      <x:c r="C21" s="46" t="n">
        <x:f>'Profit Target'!C24</x:f>
        <x:v>204707</x:v>
      </x:c>
    </x:row>
  </x:sheetData>
  <x:mergeCells>
    <x:mergeCell ref="A2:F2"/>
    <x:mergeCell ref="A4:F4"/>
  </x:mergeCells>
  <x:pageMargins left="0.7" right="0.7" top="0.75" bottom="0.75" header="0.3" footer="0.3"/>
</x:worksheet>
</file>